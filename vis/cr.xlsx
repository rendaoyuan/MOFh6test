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/>
  <mc:AlternateContent xmlns:mc="http://schemas.openxmlformats.org/markup-compatibility/2006">
    <mc:Choice Requires="x15">
      <x15ac:absPath xmlns:x15ac="http://schemas.microsoft.com/office/spreadsheetml/2010/11/ac" url="/Users/linzuhong/学习文件/3-博/博三/MOF_llm/verifydemo/"/>
    </mc:Choice>
  </mc:AlternateContent>
  <xr:revisionPtr revIDLastSave="0" documentId="13_ncr:1_{0DAE9CAF-80CD-344C-8DD2-20D6FD04814F}" xr6:coauthVersionLast="47" xr6:coauthVersionMax="47" xr10:uidLastSave="{00000000-0000-0000-0000-000000000000}"/>
  <bookViews>
    <workbookView xWindow="4200" yWindow="600" windowWidth="34200" windowHeight="19720" activeTab="1" xr2:uid="{00000000-000D-0000-FFFF-FFFF00000000}"/>
  </bookViews>
  <sheets>
    <sheet name="per_pub" sheetId="7" r:id="rId1"/>
    <sheet name="overall" sheetId="8" r:id="rId2"/>
    <sheet name="mean" sheetId="5" r:id="rId3"/>
    <sheet name="std" sheetId="6" r:id="rId4"/>
    <sheet name="sheet1" sheetId="1" r:id="rId5"/>
    <sheet name="Sheet2" sheetId="3" r:id="rId6"/>
    <sheet name="Sheet3" sheetId="4" r:id="rId7"/>
    <sheet name="sheet4" sheetId="2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" i="6" l="1"/>
  <c r="C7" i="6"/>
  <c r="D7" i="6"/>
  <c r="E7" i="6"/>
  <c r="C7" i="5"/>
  <c r="D7" i="5"/>
  <c r="E7" i="5"/>
  <c r="B7" i="5"/>
  <c r="C2" i="6"/>
  <c r="D2" i="6"/>
  <c r="E2" i="6"/>
  <c r="C3" i="6"/>
  <c r="D3" i="6"/>
  <c r="E3" i="6"/>
  <c r="C4" i="6"/>
  <c r="D4" i="6"/>
  <c r="E4" i="6"/>
  <c r="C5" i="6"/>
  <c r="D5" i="6"/>
  <c r="E5" i="6"/>
  <c r="C6" i="6"/>
  <c r="D6" i="6"/>
  <c r="E6" i="6"/>
  <c r="B3" i="6"/>
  <c r="B4" i="6"/>
  <c r="B5" i="6"/>
  <c r="B6" i="6"/>
  <c r="B2" i="6"/>
  <c r="C2" i="5"/>
  <c r="D2" i="5"/>
  <c r="E2" i="5"/>
  <c r="C3" i="5"/>
  <c r="D3" i="5"/>
  <c r="E3" i="5"/>
  <c r="C4" i="5"/>
  <c r="D4" i="5"/>
  <c r="E4" i="5"/>
  <c r="C5" i="5"/>
  <c r="D5" i="5"/>
  <c r="E5" i="5"/>
  <c r="C6" i="5"/>
  <c r="D6" i="5"/>
  <c r="E6" i="5"/>
  <c r="B3" i="5"/>
  <c r="B4" i="5"/>
  <c r="B5" i="5"/>
  <c r="B6" i="5"/>
  <c r="B2" i="5"/>
  <c r="D3" i="2"/>
  <c r="D4" i="2"/>
  <c r="D2" i="2"/>
  <c r="E6" i="4"/>
  <c r="E5" i="4"/>
  <c r="E4" i="4"/>
  <c r="E3" i="4"/>
  <c r="E2" i="4"/>
  <c r="E6" i="3"/>
  <c r="E5" i="3"/>
  <c r="E4" i="3"/>
  <c r="E3" i="3"/>
  <c r="E2" i="3"/>
  <c r="E3" i="1"/>
  <c r="E4" i="1"/>
  <c r="E5" i="1"/>
  <c r="E6" i="1"/>
  <c r="E2" i="1"/>
</calcChain>
</file>

<file path=xl/sharedStrings.xml><?xml version="1.0" encoding="utf-8"?>
<sst xmlns="http://schemas.openxmlformats.org/spreadsheetml/2006/main" count="70" uniqueCount="15">
  <si>
    <t>pub</t>
  </si>
  <si>
    <t>total</t>
  </si>
  <si>
    <t>t_count</t>
  </si>
  <si>
    <t>non_t</t>
  </si>
  <si>
    <t>t_percent</t>
  </si>
  <si>
    <t>ACS</t>
  </si>
  <si>
    <t>Elsevier</t>
  </si>
  <si>
    <t>RSC</t>
  </si>
  <si>
    <t>Springer</t>
  </si>
  <si>
    <t>Wiley</t>
  </si>
  <si>
    <t>overall_total</t>
  </si>
  <si>
    <t>overall_t_count</t>
  </si>
  <si>
    <t>overall_non_t</t>
  </si>
  <si>
    <t>overall_t_percent</t>
  </si>
  <si>
    <t>Total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</si>
</sst>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6D8168-2D72-E742-8055-02F396E184BB}">
  <dimension ref="A1:E6"/>
  <sheetViews>
    <sheetView workbookViewId="0">
      <selection activeCell="E20" sqref="E20"/>
    </sheetView>
  </sheetViews>
  <sheetFormatPr baseColWidth="10" defaultRowHeight="14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>
        <v>28.666666666666668</v>
      </c>
      <c r="C2">
        <v>23</v>
      </c>
      <c r="D2">
        <v>5.666666666666667</v>
      </c>
      <c r="E2">
        <v>80.263942103022558</v>
      </c>
    </row>
    <row r="3" spans="1:5">
      <c r="A3" t="s">
        <v>6</v>
      </c>
      <c r="B3">
        <v>21</v>
      </c>
      <c r="C3">
        <v>19.333333333333332</v>
      </c>
      <c r="D3">
        <v>1.6666666666666667</v>
      </c>
      <c r="E3">
        <v>91.867349533253432</v>
      </c>
    </row>
    <row r="4" spans="1:5">
      <c r="A4" t="s">
        <v>7</v>
      </c>
      <c r="B4">
        <v>23</v>
      </c>
      <c r="C4">
        <v>21.333333333333332</v>
      </c>
      <c r="D4">
        <v>1.6666666666666667</v>
      </c>
      <c r="E4">
        <v>92.74264382960034</v>
      </c>
    </row>
    <row r="5" spans="1:5">
      <c r="A5" t="s">
        <v>8</v>
      </c>
      <c r="B5">
        <v>44.666666666666664</v>
      </c>
      <c r="C5">
        <v>38.333333333333336</v>
      </c>
      <c r="D5">
        <v>6.333333333333333</v>
      </c>
      <c r="E5">
        <v>85.803689064558625</v>
      </c>
    </row>
    <row r="6" spans="1:5">
      <c r="A6" t="s">
        <v>9</v>
      </c>
      <c r="B6">
        <v>99.333333333333329</v>
      </c>
      <c r="C6">
        <v>94.666666666666671</v>
      </c>
      <c r="D6">
        <v>4.666666666666667</v>
      </c>
      <c r="E6">
        <v>95.351534344863623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A2E5AE-F5E0-1F4D-BBD0-CA35710838C8}">
  <dimension ref="A1:D2"/>
  <sheetViews>
    <sheetView tabSelected="1" workbookViewId="0">
      <selection sqref="A1:A1048576"/>
    </sheetView>
  </sheetViews>
  <sheetFormatPr baseColWidth="10" defaultRowHeight="14"/>
  <sheetData>
    <row r="1" spans="1:4">
      <c r="A1" s="1" t="s">
        <v>10</v>
      </c>
      <c r="B1" s="1" t="s">
        <v>11</v>
      </c>
      <c r="C1" s="1" t="s">
        <v>12</v>
      </c>
      <c r="D1" s="1" t="s">
        <v>13</v>
      </c>
    </row>
    <row r="2" spans="1:4">
      <c r="A2">
        <v>216.66666666666666</v>
      </c>
      <c r="B2">
        <v>196.66666666666666</v>
      </c>
      <c r="C2">
        <v>20</v>
      </c>
      <c r="D2">
        <v>90.776163278341755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90BA7A-9678-9E4E-B3AD-54660C59217C}">
  <dimension ref="A1:H7"/>
  <sheetViews>
    <sheetView workbookViewId="0">
      <selection activeCell="E1" sqref="A1:E7"/>
    </sheetView>
  </sheetViews>
  <sheetFormatPr baseColWidth="10" defaultRowHeight="14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8">
      <c r="A2" t="s">
        <v>5</v>
      </c>
      <c r="B2">
        <f>(sheet1!B2+Sheet2!B2+Sheet3!B2)/3</f>
        <v>28.666666666666668</v>
      </c>
      <c r="C2">
        <f>(sheet1!C2+Sheet2!C2+Sheet3!C2)/3</f>
        <v>23</v>
      </c>
      <c r="D2">
        <f>(sheet1!D2+Sheet2!D2+Sheet3!D2)/3</f>
        <v>5.666666666666667</v>
      </c>
      <c r="E2">
        <f>(sheet1!E2+Sheet2!E2+Sheet3!E2)/3</f>
        <v>80.263942103022558</v>
      </c>
    </row>
    <row r="3" spans="1:8">
      <c r="A3" t="s">
        <v>6</v>
      </c>
      <c r="B3">
        <f>(sheet1!B3+Sheet2!B3+Sheet3!B3)/3</f>
        <v>21</v>
      </c>
      <c r="C3">
        <f>(sheet1!C3+Sheet2!C3+Sheet3!C3)/3</f>
        <v>19.333333333333332</v>
      </c>
      <c r="D3">
        <f>(sheet1!D3+Sheet2!D3+Sheet3!D3)/3</f>
        <v>1.6666666666666667</v>
      </c>
      <c r="E3">
        <f>(sheet1!E3+Sheet2!E3+Sheet3!E3)/3</f>
        <v>91.867349533253432</v>
      </c>
    </row>
    <row r="4" spans="1:8">
      <c r="A4" t="s">
        <v>7</v>
      </c>
      <c r="B4">
        <f>(sheet1!B4+Sheet2!B4+Sheet3!B4)/3</f>
        <v>23</v>
      </c>
      <c r="C4">
        <f>(sheet1!C4+Sheet2!C4+Sheet3!C4)/3</f>
        <v>21.333333333333332</v>
      </c>
      <c r="D4">
        <f>(sheet1!D4+Sheet2!D4+Sheet3!D4)/3</f>
        <v>1.6666666666666667</v>
      </c>
      <c r="E4">
        <f>(sheet1!E4+Sheet2!E4+Sheet3!E4)/3</f>
        <v>92.74264382960034</v>
      </c>
    </row>
    <row r="5" spans="1:8">
      <c r="A5" t="s">
        <v>8</v>
      </c>
      <c r="B5">
        <f>(sheet1!B5+Sheet2!B5+Sheet3!B5)/3</f>
        <v>44.666666666666664</v>
      </c>
      <c r="C5">
        <f>(sheet1!C5+Sheet2!C5+Sheet3!C5)/3</f>
        <v>38.333333333333336</v>
      </c>
      <c r="D5">
        <f>(sheet1!D5+Sheet2!D5+Sheet3!D5)/3</f>
        <v>6.333333333333333</v>
      </c>
      <c r="E5">
        <f>(sheet1!E5+Sheet2!E5+Sheet3!E5)/3</f>
        <v>85.803689064558625</v>
      </c>
    </row>
    <row r="6" spans="1:8">
      <c r="A6" t="s">
        <v>9</v>
      </c>
      <c r="B6">
        <f>(sheet1!B6+Sheet2!B6+Sheet3!B6)/3</f>
        <v>99.333333333333329</v>
      </c>
      <c r="C6">
        <f>(sheet1!C6+Sheet2!C6+Sheet3!C6)/3</f>
        <v>94.666666666666671</v>
      </c>
      <c r="D6">
        <f>(sheet1!D6+Sheet2!D6+Sheet3!D6)/3</f>
        <v>4.666666666666667</v>
      </c>
      <c r="E6">
        <f>(sheet1!E6+Sheet2!E6+Sheet3!E6)/3</f>
        <v>95.351534344863623</v>
      </c>
      <c r="H6" s="2"/>
    </row>
    <row r="7" spans="1:8">
      <c r="A7" t="s">
        <v>14</v>
      </c>
      <c r="B7">
        <f>(sheet4!A2+sheet4!A3+sheet4!A4)/3</f>
        <v>216.66666666666666</v>
      </c>
      <c r="C7">
        <f>(sheet4!B2+sheet4!B3+sheet4!B4)/3</f>
        <v>196.66666666666666</v>
      </c>
      <c r="D7">
        <f>(sheet4!C2+sheet4!C3+sheet4!C4)/3</f>
        <v>20</v>
      </c>
      <c r="E7">
        <f>(sheet4!D2+sheet4!D3+sheet4!D4)/3</f>
        <v>90.776163278341755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688110-86D1-9149-AC2D-2008B1D4658F}">
  <dimension ref="A1:E7"/>
  <sheetViews>
    <sheetView workbookViewId="0">
      <selection activeCell="A7" sqref="A7"/>
    </sheetView>
  </sheetViews>
  <sheetFormatPr baseColWidth="10" defaultRowHeight="14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f>_xlfn.STDEV.S(sheet1!B2,Sheet2!B2,Sheet3!B2)</f>
        <v>1.5275252316519465</v>
      </c>
      <c r="C2">
        <f>_xlfn.STDEV.S(sheet1!C2,Sheet2!C2,Sheet3!C2)</f>
        <v>1</v>
      </c>
      <c r="D2">
        <f>_xlfn.STDEV.S(sheet1!D2,Sheet2!D2,Sheet3!D2)</f>
        <v>0.57735026918962584</v>
      </c>
      <c r="E2">
        <f>_xlfn.STDEV.S(sheet1!E2,Sheet2!E2,Sheet3!E2)</f>
        <v>1.1093726460404871</v>
      </c>
    </row>
    <row r="3" spans="1:5">
      <c r="A3" t="s">
        <v>6</v>
      </c>
      <c r="B3">
        <f>_xlfn.STDEV.S(sheet1!B3,Sheet2!B3,Sheet3!B3)</f>
        <v>2</v>
      </c>
      <c r="C3">
        <f>_xlfn.STDEV.S(sheet1!C3,Sheet2!C3,Sheet3!C3)</f>
        <v>2.5166114784235907</v>
      </c>
      <c r="D3">
        <f>_xlfn.STDEV.S(sheet1!D3,Sheet2!D3,Sheet3!D3)</f>
        <v>0.57735026918962551</v>
      </c>
      <c r="E3">
        <f>_xlfn.STDEV.S(sheet1!E3,Sheet2!E3,Sheet3!E3)</f>
        <v>3.3158598270379089</v>
      </c>
    </row>
    <row r="4" spans="1:5">
      <c r="A4" t="s">
        <v>7</v>
      </c>
      <c r="B4">
        <f>_xlfn.STDEV.S(sheet1!B4,Sheet2!B4,Sheet3!B4)</f>
        <v>1</v>
      </c>
      <c r="C4">
        <f>_xlfn.STDEV.S(sheet1!C4,Sheet2!C4,Sheet3!C4)</f>
        <v>1.1547005383792515</v>
      </c>
      <c r="D4">
        <f>_xlfn.STDEV.S(sheet1!D4,Sheet2!D4,Sheet3!D4)</f>
        <v>0.57735026918962551</v>
      </c>
      <c r="E4">
        <f>_xlfn.STDEV.S(sheet1!E4,Sheet2!E4,Sheet3!E4)</f>
        <v>2.548039292664475</v>
      </c>
    </row>
    <row r="5" spans="1:5">
      <c r="A5" t="s">
        <v>8</v>
      </c>
      <c r="B5">
        <f>_xlfn.STDEV.S(sheet1!B5,Sheet2!B5,Sheet3!B5)</f>
        <v>1.1547005383792517</v>
      </c>
      <c r="C5">
        <f>_xlfn.STDEV.S(sheet1!C5,Sheet2!C5,Sheet3!C5)</f>
        <v>1.5275252316519465</v>
      </c>
      <c r="D5">
        <f>_xlfn.STDEV.S(sheet1!D5,Sheet2!D5,Sheet3!D5)</f>
        <v>0.57735026918962584</v>
      </c>
      <c r="E5">
        <f>_xlfn.STDEV.S(sheet1!E5,Sheet2!E5,Sheet3!E5)</f>
        <v>1.5126432810546804</v>
      </c>
    </row>
    <row r="6" spans="1:5">
      <c r="A6" t="s">
        <v>9</v>
      </c>
      <c r="B6">
        <f>_xlfn.STDEV.S(sheet1!B6,Sheet2!B6,Sheet3!B6)</f>
        <v>2.5166114784235836</v>
      </c>
      <c r="C6">
        <f>_xlfn.STDEV.S(sheet1!C6,Sheet2!C6,Sheet3!C6)</f>
        <v>0.57735026918962573</v>
      </c>
      <c r="D6">
        <f>_xlfn.STDEV.S(sheet1!D6,Sheet2!D6,Sheet3!D6)</f>
        <v>3.0550504633038935</v>
      </c>
      <c r="E6">
        <f>_xlfn.STDEV.S(sheet1!E6,Sheet2!E6,Sheet3!E6)</f>
        <v>2.9382151701614321</v>
      </c>
    </row>
    <row r="7" spans="1:5">
      <c r="A7" t="s">
        <v>14</v>
      </c>
      <c r="B7">
        <f>_xlfn.STDEV.S(sheet4!A2,sheet4!A3,sheet4!A4)</f>
        <v>2.5166114784235836</v>
      </c>
      <c r="C7">
        <f>_xlfn.STDEV.S(sheet4!B2,sheet4!B3,sheet4!B4)</f>
        <v>2.8867513459481291</v>
      </c>
      <c r="D7">
        <f>_xlfn.STDEV.S(sheet4!C2,sheet4!C3,sheet4!C4)</f>
        <v>3.6055512754639891</v>
      </c>
      <c r="E7">
        <f>_xlfn.STDEV.S(sheet4!D2,sheet4!D3,sheet4!D4)</f>
        <v>1.5907666984036024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workbookViewId="0">
      <selection activeCell="C45" sqref="C45"/>
    </sheetView>
  </sheetViews>
  <sheetFormatPr baseColWidth="10" defaultColWidth="8.83203125" defaultRowHeight="14"/>
  <cols>
    <col min="4" max="4" width="15.5" customWidth="1"/>
    <col min="5" max="5" width="16.5" customWidth="1"/>
    <col min="10" max="10" width="9.33203125" customWidth="1"/>
    <col min="11" max="11" width="18.8320312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27</v>
      </c>
      <c r="C2">
        <v>22</v>
      </c>
      <c r="D2">
        <v>5</v>
      </c>
      <c r="E2">
        <f>C2/B2*100</f>
        <v>81.481481481481481</v>
      </c>
    </row>
    <row r="3" spans="1:5">
      <c r="A3" t="s">
        <v>6</v>
      </c>
      <c r="B3">
        <v>21</v>
      </c>
      <c r="C3">
        <v>19</v>
      </c>
      <c r="D3">
        <v>2</v>
      </c>
      <c r="E3">
        <f t="shared" ref="E3:E6" si="0">C3/B3*100</f>
        <v>90.476190476190482</v>
      </c>
    </row>
    <row r="4" spans="1:5">
      <c r="A4" t="s">
        <v>7</v>
      </c>
      <c r="B4">
        <v>23</v>
      </c>
      <c r="C4">
        <v>22</v>
      </c>
      <c r="D4">
        <v>1</v>
      </c>
      <c r="E4">
        <f t="shared" si="0"/>
        <v>95.652173913043484</v>
      </c>
    </row>
    <row r="5" spans="1:5">
      <c r="A5" t="s">
        <v>8</v>
      </c>
      <c r="B5">
        <v>44</v>
      </c>
      <c r="C5">
        <v>37</v>
      </c>
      <c r="D5">
        <v>7</v>
      </c>
      <c r="E5">
        <f t="shared" si="0"/>
        <v>84.090909090909093</v>
      </c>
    </row>
    <row r="6" spans="1:5">
      <c r="A6" t="s">
        <v>9</v>
      </c>
      <c r="B6">
        <v>99</v>
      </c>
      <c r="C6">
        <v>95</v>
      </c>
      <c r="D6">
        <v>4</v>
      </c>
      <c r="E6">
        <f t="shared" si="0"/>
        <v>95.959595959595958</v>
      </c>
    </row>
  </sheetData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C89245-FA49-1747-9C33-DF18DD3CBC50}">
  <dimension ref="A1:E6"/>
  <sheetViews>
    <sheetView workbookViewId="0">
      <selection activeCell="D16" sqref="D16"/>
    </sheetView>
  </sheetViews>
  <sheetFormatPr baseColWidth="10" defaultRowHeight="14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29</v>
      </c>
      <c r="C2">
        <v>23</v>
      </c>
      <c r="D2">
        <v>6</v>
      </c>
      <c r="E2">
        <f>C2/B2*100</f>
        <v>79.310344827586206</v>
      </c>
    </row>
    <row r="3" spans="1:5">
      <c r="A3" t="s">
        <v>6</v>
      </c>
      <c r="B3">
        <v>23</v>
      </c>
      <c r="C3">
        <v>22</v>
      </c>
      <c r="D3">
        <v>1</v>
      </c>
      <c r="E3">
        <f>C3/B3*100</f>
        <v>95.652173913043484</v>
      </c>
    </row>
    <row r="4" spans="1:5">
      <c r="A4" t="s">
        <v>7</v>
      </c>
      <c r="B4">
        <v>22</v>
      </c>
      <c r="C4">
        <v>20</v>
      </c>
      <c r="D4">
        <v>2</v>
      </c>
      <c r="E4">
        <f>C4/B4*100</f>
        <v>90.909090909090907</v>
      </c>
    </row>
    <row r="5" spans="1:5">
      <c r="A5" t="s">
        <v>8</v>
      </c>
      <c r="B5">
        <v>46</v>
      </c>
      <c r="C5">
        <v>40</v>
      </c>
      <c r="D5">
        <v>6</v>
      </c>
      <c r="E5">
        <f>C5/B5*100</f>
        <v>86.956521739130437</v>
      </c>
    </row>
    <row r="6" spans="1:5">
      <c r="A6" t="s">
        <v>9</v>
      </c>
      <c r="B6">
        <v>97</v>
      </c>
      <c r="C6">
        <v>95</v>
      </c>
      <c r="D6">
        <v>2</v>
      </c>
      <c r="E6">
        <f>C6/B6*100</f>
        <v>97.9381443298969</v>
      </c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E22C62-2812-B345-B5AF-4F03EC5AB508}">
  <dimension ref="A1:E6"/>
  <sheetViews>
    <sheetView workbookViewId="0">
      <selection activeCell="C1" sqref="C1:C1048576"/>
    </sheetView>
  </sheetViews>
  <sheetFormatPr baseColWidth="10" defaultRowHeight="14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30</v>
      </c>
      <c r="C2">
        <v>24</v>
      </c>
      <c r="D2">
        <v>6</v>
      </c>
      <c r="E2">
        <f>C2/B2*100</f>
        <v>80</v>
      </c>
    </row>
    <row r="3" spans="1:5">
      <c r="A3" t="s">
        <v>6</v>
      </c>
      <c r="B3">
        <v>19</v>
      </c>
      <c r="C3">
        <v>17</v>
      </c>
      <c r="D3">
        <v>2</v>
      </c>
      <c r="E3">
        <f>C3/B3*100</f>
        <v>89.473684210526315</v>
      </c>
    </row>
    <row r="4" spans="1:5">
      <c r="A4" t="s">
        <v>7</v>
      </c>
      <c r="B4">
        <v>24</v>
      </c>
      <c r="C4">
        <v>22</v>
      </c>
      <c r="D4">
        <v>2</v>
      </c>
      <c r="E4">
        <f>C4/B4*100</f>
        <v>91.666666666666657</v>
      </c>
    </row>
    <row r="5" spans="1:5">
      <c r="A5" t="s">
        <v>8</v>
      </c>
      <c r="B5">
        <v>44</v>
      </c>
      <c r="C5">
        <v>38</v>
      </c>
      <c r="D5">
        <v>6</v>
      </c>
      <c r="E5">
        <f>C5/B5*100</f>
        <v>86.36363636363636</v>
      </c>
    </row>
    <row r="6" spans="1:5">
      <c r="A6" t="s">
        <v>9</v>
      </c>
      <c r="B6">
        <v>102</v>
      </c>
      <c r="C6">
        <v>94</v>
      </c>
      <c r="D6">
        <v>8</v>
      </c>
      <c r="E6">
        <f>C6/B6*100</f>
        <v>92.156862745098039</v>
      </c>
    </row>
  </sheetData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"/>
  <sheetViews>
    <sheetView workbookViewId="0">
      <selection activeCell="A2" sqref="A2:A4"/>
    </sheetView>
  </sheetViews>
  <sheetFormatPr baseColWidth="10" defaultColWidth="8.83203125" defaultRowHeight="14"/>
  <sheetData>
    <row r="1" spans="1:4">
      <c r="A1" s="1" t="s">
        <v>10</v>
      </c>
      <c r="B1" s="1" t="s">
        <v>11</v>
      </c>
      <c r="C1" s="1" t="s">
        <v>12</v>
      </c>
      <c r="D1" s="1" t="s">
        <v>13</v>
      </c>
    </row>
    <row r="2" spans="1:4">
      <c r="A2">
        <v>214</v>
      </c>
      <c r="B2">
        <v>195</v>
      </c>
      <c r="C2">
        <v>19</v>
      </c>
      <c r="D2">
        <f>B2/A2*100</f>
        <v>91.121495327102807</v>
      </c>
    </row>
    <row r="3" spans="1:4">
      <c r="A3">
        <v>217</v>
      </c>
      <c r="B3">
        <v>200</v>
      </c>
      <c r="C3">
        <v>17</v>
      </c>
      <c r="D3">
        <f t="shared" ref="D3:D4" si="0">B3/A3*100</f>
        <v>92.165898617511516</v>
      </c>
    </row>
    <row r="4" spans="1:4">
      <c r="A4">
        <v>219</v>
      </c>
      <c r="B4">
        <v>195</v>
      </c>
      <c r="C4">
        <v>24</v>
      </c>
      <c r="D4">
        <f t="shared" si="0"/>
        <v>89.041095890410958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per_pub</vt:lpstr>
      <vt:lpstr>overall</vt:lpstr>
      <vt:lpstr>mean</vt:lpstr>
      <vt:lpstr>std</vt:lpstr>
      <vt:lpstr>sheet1</vt:lpstr>
      <vt:lpstr>Sheet2</vt:lpstr>
      <vt:lpstr>Sheet3</vt:lpstr>
      <vt:lpstr>sheet4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ZH L</cp:lastModifiedBy>
  <dcterms:created xsi:type="dcterms:W3CDTF">2026-01-14T15:34:25Z</dcterms:created>
  <dcterms:modified xsi:type="dcterms:W3CDTF">2026-01-15T06:36:41Z</dcterms:modified>
</cp:coreProperties>
</file>